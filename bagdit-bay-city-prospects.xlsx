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spe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<sst xmlns="http://schemas.openxmlformats.org/spreadsheetml/2006/main" count="426" uniqueCount="272">
  <si>
    <t xml:space="preserve">Bagdit — Bay City Prospect Tracker</t>
  </si>
  <si>
    <t xml:space="preserve">How to use: work High priority first. Fill YELLOW columns as you go (Status, Email, Facebook/Website, Notes). Status values: To call / Called - no answer / Voicemail left / Talked - sent link / Interested / SIGNED / Not a fit. Call window avoids their rush hours. Sources: Google Places data, July 2026 — verify hours before calling.</t>
  </si>
  <si>
    <t xml:space="preserve">Priority</t>
  </si>
  <si>
    <t xml:space="preserve">Business</t>
  </si>
  <si>
    <t xml:space="preserve">Category</t>
  </si>
  <si>
    <t xml:space="preserve">Owner / Contact (if known)</t>
  </si>
  <si>
    <t xml:space="preserve">Phone</t>
  </si>
  <si>
    <t xml:space="preserve">Address</t>
  </si>
  <si>
    <t xml:space="preserve">Google Rating</t>
  </si>
  <si>
    <t xml:space="preserve">Best Call Window</t>
  </si>
  <si>
    <t xml:space="preserve">Offer Idea (starter pitch)</t>
  </si>
  <si>
    <t xml:space="preserve">Status</t>
  </si>
  <si>
    <t xml:space="preserve">Email (find on site/FB)</t>
  </si>
  <si>
    <t xml:space="preserve">Facebook / Website</t>
  </si>
  <si>
    <t xml:space="preserve">Notes / Next step</t>
  </si>
  <si>
    <t xml:space="preserve">High</t>
  </si>
  <si>
    <t xml:space="preserve">(Example) Joe's Diner</t>
  </si>
  <si>
    <t xml:space="preserve">Restaurant</t>
  </si>
  <si>
    <t xml:space="preserve">Joe</t>
  </si>
  <si>
    <t xml:space="preserve">+1 989-555-0100</t>
  </si>
  <si>
    <t xml:space="preserve">123 Main St</t>
  </si>
  <si>
    <t xml:space="preserve">4.5</t>
  </si>
  <si>
    <t xml:space="preserve">2:00–4:00 PM</t>
  </si>
  <si>
    <t xml:space="preserve">Lunch for two + $15 for a 30s reel</t>
  </si>
  <si>
    <t xml:space="preserve">Talked - sent link</t>
  </si>
  <si>
    <t xml:space="preserve">joe@joesdiner.com</t>
  </si>
  <si>
    <t xml:space="preserve">facebook.com/joesdiner</t>
  </si>
  <si>
    <t xml:space="preserve">Called 7/21, friendly — follow up Thu</t>
  </si>
  <si>
    <t xml:space="preserve">Gatsby's Seafood &amp; Steakhouse</t>
  </si>
  <si>
    <t xml:space="preserve">Kristen (front of house; husband is chef — family-run, 4 generations)</t>
  </si>
  <si>
    <t xml:space="preserve">+1 989-922-5556</t>
  </si>
  <si>
    <t xml:space="preserve">203 Center Ave, Bay City, MI</t>
  </si>
  <si>
    <t xml:space="preserve">4.6</t>
  </si>
  <si>
    <t xml:space="preserve">2:00–4:00 PM (opens 11:30 Tu–Sa)</t>
  </si>
  <si>
    <t xml:space="preserve">Dinner for two comped + $25 for a 30s reel</t>
  </si>
  <si>
    <t xml:space="preserve">To call</t>
  </si>
  <si>
    <t xml:space="preserve">Family-run = fastest yes. Mention their Gatsby theme in the pitch.</t>
  </si>
  <si>
    <t xml:space="preserve">Brooklyn Boyz Pizza</t>
  </si>
  <si>
    <t xml:space="preserve">Pizza</t>
  </si>
  <si>
    <t xml:space="preserve">Kevin (owner; hosts live jazz Wednesdays)</t>
  </si>
  <si>
    <t xml:space="preserve">+1 989-894-5560</t>
  </si>
  <si>
    <t xml:space="preserve">507 E Midland St, Bay City, MI</t>
  </si>
  <si>
    <t xml:space="preserve">4.7</t>
  </si>
  <si>
    <t xml:space="preserve">2:00–4:00 PM (closed Mon)</t>
  </si>
  <si>
    <t xml:space="preserve">Free pizza night for two + $20 for a 30s reel; jazz-night video angle</t>
  </si>
  <si>
    <t xml:space="preserve">Owner known for supporting local music — community-minded, great fit.</t>
  </si>
  <si>
    <t xml:space="preserve">Vinny's Pizzeria</t>
  </si>
  <si>
    <t xml:space="preserve">Pizza / Italian</t>
  </si>
  <si>
    <t xml:space="preserve">Vinny (owner — introduces himself to tables)</t>
  </si>
  <si>
    <t xml:space="preserve">+1 989-322-1200</t>
  </si>
  <si>
    <t xml:space="preserve">160 Uptown Dr, Bay City, MI</t>
  </si>
  <si>
    <t xml:space="preserve">4.4</t>
  </si>
  <si>
    <t xml:space="preserve">3:00–4:00 PM (opens 4 PM — call just before open)</t>
  </si>
  <si>
    <t xml:space="preserve">Dinner for two + $25 for a 30s reel</t>
  </si>
  <si>
    <t xml:space="preserve">Reviews say owner is personable and came through on catering favors.</t>
  </si>
  <si>
    <t xml:space="preserve">Buddy's Columbus Cone Inc.</t>
  </si>
  <si>
    <t xml:space="preserve">Ice cream</t>
  </si>
  <si>
    <t xml:space="preserve">Buddy (owner, on site)</t>
  </si>
  <si>
    <t xml:space="preserve">+1 989-778-1751</t>
  </si>
  <si>
    <t xml:space="preserve">801 Columbus Ave, Bay City, MI</t>
  </si>
  <si>
    <t xml:space="preserve">4.8</t>
  </si>
  <si>
    <t xml:space="preserve">2:00–3:30 PM (opens 4 PM Mon–Fri)</t>
  </si>
  <si>
    <t xml:space="preserve">Free cones for two — footage-only deal, no cash needed</t>
  </si>
  <si>
    <t xml:space="preserve">New-ish shop, owner present. Cheapest possible first yes in Bay City.</t>
  </si>
  <si>
    <t xml:space="preserve">Bay City Boat Rental</t>
  </si>
  <si>
    <t xml:space="preserve">Boat rental</t>
  </si>
  <si>
    <t xml:space="preserve">Gerad &amp; Harmonie (owners); Jonah &amp; Jared also run bookings</t>
  </si>
  <si>
    <t xml:space="preserve">+1 989-220-3677</t>
  </si>
  <si>
    <t xml:space="preserve">1201 Evergreen Dr, Bay City, MI</t>
  </si>
  <si>
    <t xml:space="preserve">5.0</t>
  </si>
  <si>
    <t xml:space="preserve">9:00–11:00 AM weekdays</t>
  </si>
  <si>
    <t xml:space="preserve">Free 2-hr pontoon slot (off-peak) for a 30–45s on-water reel</t>
  </si>
  <si>
    <t xml:space="preserve">THE flagship offer for the board. Owners praised by name in reviews.</t>
  </si>
  <si>
    <t xml:space="preserve">Tri-City Brewing Company</t>
  </si>
  <si>
    <t xml:space="preserve">Brewery</t>
  </si>
  <si>
    <t xml:space="preserve">—</t>
  </si>
  <si>
    <t xml:space="preserve">+1 989-686-1340</t>
  </si>
  <si>
    <t xml:space="preserve">4170 Shrestha Dr, Bay City, MI</t>
  </si>
  <si>
    <t xml:space="preserve">3:00–5:00 PM Tue–Fri (opens 3 PM)</t>
  </si>
  <si>
    <t xml:space="preserve">Free flight + merch item for a 30s taproom reel</t>
  </si>
  <si>
    <t xml:space="preserve">Dog-friendly, 31 taps, food trucks — very filmable. Independent.</t>
  </si>
  <si>
    <t xml:space="preserve">W.H. Ales Brewpub</t>
  </si>
  <si>
    <t xml:space="preserve">Brewpub</t>
  </si>
  <si>
    <t xml:space="preserve">+1 989-778-2348</t>
  </si>
  <si>
    <t xml:space="preserve">804 E Midland St, Bay City, MI</t>
  </si>
  <si>
    <t xml:space="preserve">4.3</t>
  </si>
  <si>
    <t xml:space="preserve">Free flight + app for a 30s reel</t>
  </si>
  <si>
    <t xml:space="preserve">Newer spot rebuilding awareness in old Lumber Baron's location — motivated.</t>
  </si>
  <si>
    <t xml:space="preserve">Harless + Hugh Coffee</t>
  </si>
  <si>
    <t xml:space="preserve">Coffee shop</t>
  </si>
  <si>
    <t xml:space="preserve">+1 989-385-1657</t>
  </si>
  <si>
    <t xml:space="preserve">1003 Washington Ave, Bay City, MI</t>
  </si>
  <si>
    <t xml:space="preserve">1:30–3:30 PM</t>
  </si>
  <si>
    <t xml:space="preserve">Free drinks + pastry for two — footage-only, 3 clips</t>
  </si>
  <si>
    <t xml:space="preserve">Most aesthetic cafe in town; their content instincts are already good.</t>
  </si>
  <si>
    <t xml:space="preserve">LoLoBee's Lounge</t>
  </si>
  <si>
    <t xml:space="preserve">Cafe / lounge</t>
  </si>
  <si>
    <t xml:space="preserve">+1 989-316-1339</t>
  </si>
  <si>
    <t xml:space="preserve">106 S Linn St Unit A, Bay City, MI</t>
  </si>
  <si>
    <t xml:space="preserve">4.9</t>
  </si>
  <si>
    <t xml:space="preserve">1:00–3:00 PM (closed Wed)</t>
  </si>
  <si>
    <t xml:space="preserve">Free drinks for two + $10 for a 30s reel of karaoke/game night</t>
  </si>
  <si>
    <t xml:space="preserve">Community-driven, events-heavy, LGBTQ-friendly — loves local support.</t>
  </si>
  <si>
    <t xml:space="preserve">Michigan Cream &amp; Sugar</t>
  </si>
  <si>
    <t xml:space="preserve">+1 989-322-1000</t>
  </si>
  <si>
    <t xml:space="preserve">12:30–2:00 PM</t>
  </si>
  <si>
    <t xml:space="preserve">Free cones for two — footage-only</t>
  </si>
  <si>
    <t xml:space="preserve">High foot traffic Uptown location; easy filmable product.</t>
  </si>
  <si>
    <t xml:space="preserve">The Public House</t>
  </si>
  <si>
    <t xml:space="preserve">Cocktail bar</t>
  </si>
  <si>
    <t xml:space="preserve">+1 989-391-9017</t>
  </si>
  <si>
    <t xml:space="preserve">811 Adams St, Bay City, MI</t>
  </si>
  <si>
    <t xml:space="preserve">Thu–Fri 3:00–4:00 PM (only open Thu–Sun)</t>
  </si>
  <si>
    <t xml:space="preserve">Two craft cocktails + app comped + $15 for a 30s reel</t>
  </si>
  <si>
    <t xml:space="preserve">Flaming-cinnamon-stick cocktails = made for video. Limited hours, call Thu.</t>
  </si>
  <si>
    <t xml:space="preserve">Prost Wine Bar &amp; Charcuterie</t>
  </si>
  <si>
    <t xml:space="preserve">Wine bar</t>
  </si>
  <si>
    <t xml:space="preserve">+1 989-357-1911</t>
  </si>
  <si>
    <t xml:space="preserve">283 Uptown Dr, Bay City, MI</t>
  </si>
  <si>
    <t xml:space="preserve">2:00–3:30 PM</t>
  </si>
  <si>
    <t xml:space="preserve">Charcuterie board + 2 glasses comped + $20 for a 30s reel</t>
  </si>
  <si>
    <t xml:space="preserve">Charcuterie is peak Instagram. Also has Frankenmuth location = expansion lead.</t>
  </si>
  <si>
    <t xml:space="preserve">The Polar Lab</t>
  </si>
  <si>
    <t xml:space="preserve">Family-run (formerly Mama Lupo's family)</t>
  </si>
  <si>
    <t xml:space="preserve">+1 989-200-4425</t>
  </si>
  <si>
    <t xml:space="preserve">401 Center Ave, Bay City, MI</t>
  </si>
  <si>
    <t xml:space="preserve">3:30–4:30 PM (opens 5 PM)</t>
  </si>
  <si>
    <t xml:space="preserve">Free treats for two — footage-only</t>
  </si>
  <si>
    <t xml:space="preserve">Small family shop; low risk, quick yes potential.</t>
  </si>
  <si>
    <t xml:space="preserve">Detroit Lemon Squeeze</t>
  </si>
  <si>
    <t xml:space="preserve">Omar (chef)</t>
  </si>
  <si>
    <t xml:space="preserve">(no listed number — DM via Facebook)</t>
  </si>
  <si>
    <t xml:space="preserve">301 Lafayette St Bridge, Bay City, MI</t>
  </si>
  <si>
    <t xml:space="preserve">DM anytime; visit 2–4 PM</t>
  </si>
  <si>
    <t xml:space="preserve">Free meal + lemonade for a 30s reel</t>
  </si>
  <si>
    <t xml:space="preserve">No phone listed — this one is a Facebook Messenger pitch. Chef Omar praised by name.</t>
  </si>
  <si>
    <t xml:space="preserve">Medium</t>
  </si>
  <si>
    <t xml:space="preserve">Latitude 43</t>
  </si>
  <si>
    <t xml:space="preserve">Bar &amp; grill</t>
  </si>
  <si>
    <t xml:space="preserve">+1 989-391-9868</t>
  </si>
  <si>
    <t xml:space="preserve">1013 N Henry St, Bay City, MI</t>
  </si>
  <si>
    <t xml:space="preserve">2:00–3:30 PM (opens 4 PM)</t>
  </si>
  <si>
    <t xml:space="preserve">1,500+ reviews, beloved. Busy = slower to answer, keep trying.</t>
  </si>
  <si>
    <t xml:space="preserve">Izakaya</t>
  </si>
  <si>
    <t xml:space="preserve">Japanese / sushi</t>
  </si>
  <si>
    <t xml:space="preserve">+1 989-293-6644</t>
  </si>
  <si>
    <t xml:space="preserve">512 E Midland St, Bay City, MI</t>
  </si>
  <si>
    <t xml:space="preserve">3:00–4:30 PM (opens 5 PM Tu–Sa)</t>
  </si>
  <si>
    <t xml:space="preserve">Sushi dinner for two + $25 for a 45s reel</t>
  </si>
  <si>
    <t xml:space="preserve">Most visually stunning food in town — sushi reels perform. Dinner-only hours.</t>
  </si>
  <si>
    <t xml:space="preserve">Tavern 101</t>
  </si>
  <si>
    <t xml:space="preserve">Bar / restaurant</t>
  </si>
  <si>
    <t xml:space="preserve">+1 989-778-1431</t>
  </si>
  <si>
    <t xml:space="preserve">101 Center Ave, Bay City, MI</t>
  </si>
  <si>
    <t xml:space="preserve">Flight + app comped + $15 for a 30s reel</t>
  </si>
  <si>
    <t xml:space="preserve">Half-off flight Tuesdays — offer could ride that quiet night.</t>
  </si>
  <si>
    <t xml:space="preserve">Live Oak Coffeehouse</t>
  </si>
  <si>
    <t xml:space="preserve">Coffee / roastery</t>
  </si>
  <si>
    <t xml:space="preserve">+1 989-778-1391</t>
  </si>
  <si>
    <t xml:space="preserve">5 E Main St, Bay City, MI</t>
  </si>
  <si>
    <t xml:space="preserve">Free drinks for two — footage-only</t>
  </si>
  <si>
    <t xml:space="preserve">Riverside boardwalk right there = great B-roll. Roasts own beans.</t>
  </si>
  <si>
    <t xml:space="preserve">Legacy Coffee House &amp; Calypso Wine Bar</t>
  </si>
  <si>
    <t xml:space="preserve">Coffee / wine bar</t>
  </si>
  <si>
    <t xml:space="preserve">(no listed number — use Facebook/site)</t>
  </si>
  <si>
    <t xml:space="preserve">810 Saginaw St, Bay City, MI</t>
  </si>
  <si>
    <t xml:space="preserve">Free coffee + pastry — footage-only</t>
  </si>
  <si>
    <t xml:space="preserve">House-made syrups, recently remodeled. Find contact via FB page.</t>
  </si>
  <si>
    <t xml:space="preserve">Excited Goat Coffee Company (Euclid)</t>
  </si>
  <si>
    <t xml:space="preserve">+1 989-589-1068</t>
  </si>
  <si>
    <t xml:space="preserve">916 N Euclid Ave, Bay City, MI</t>
  </si>
  <si>
    <t xml:space="preserve">Two locations (also Essexville) — one yes covers both. Seasonal menu = content hooks.</t>
  </si>
  <si>
    <t xml:space="preserve">Gulino's Pizza &amp; Sons</t>
  </si>
  <si>
    <t xml:space="preserve">Rosie (shares family history with guests)</t>
  </si>
  <si>
    <t xml:space="preserve">+1 989-890-7585</t>
  </si>
  <si>
    <t xml:space="preserve">1406 N Henry St, Bay City, MI</t>
  </si>
  <si>
    <t xml:space="preserve">Pizza night for two + $20 for a 30s reel</t>
  </si>
  <si>
    <t xml:space="preserve">Multi-generation family story = great video narrative angle.</t>
  </si>
  <si>
    <t xml:space="preserve">Eudici's Pizza</t>
  </si>
  <si>
    <t xml:space="preserve">+1 989-892-4222</t>
  </si>
  <si>
    <t xml:space="preserve">404 E Midland St, Bay City, MI</t>
  </si>
  <si>
    <t xml:space="preserve">Free pizza + breadsticks for a 30s reel</t>
  </si>
  <si>
    <t xml:space="preserve">20-year local favorite; delivery-heavy, may value dine-in content.</t>
  </si>
  <si>
    <t xml:space="preserve">Drift Shoreside Beer Garden</t>
  </si>
  <si>
    <t xml:space="preserve">Beer garden</t>
  </si>
  <si>
    <t xml:space="preserve">Chris &amp; Casey (managers)</t>
  </si>
  <si>
    <t xml:space="preserve">+1 989-316-1441</t>
  </si>
  <si>
    <t xml:space="preserve">1019 N Water St, Bay City, MI</t>
  </si>
  <si>
    <t xml:space="preserve">Round of drinks comped + $15 for a 30s riverside reel</t>
  </si>
  <si>
    <t xml:space="preserve">Waterfront decks + live music = extremely filmable. Ask for Chris.</t>
  </si>
  <si>
    <t xml:space="preserve">Jake's Corner Lounge</t>
  </si>
  <si>
    <t xml:space="preserve">Bar / live music</t>
  </si>
  <si>
    <t xml:space="preserve">+1 989-895-9510</t>
  </si>
  <si>
    <t xml:space="preserve">114 3rd St, Bay City, MI</t>
  </si>
  <si>
    <t xml:space="preserve">12:30–2:30 PM</t>
  </si>
  <si>
    <t xml:space="preserve">Round comped + $15 for a 30s reel of outdoor concert/line dancing</t>
  </si>
  <si>
    <t xml:space="preserve">Street concerts &amp; line dancing = ready-made viral content.</t>
  </si>
  <si>
    <t xml:space="preserve">Level Up Lounge</t>
  </si>
  <si>
    <t xml:space="preserve">Pizza / arcade</t>
  </si>
  <si>
    <t xml:space="preserve">+1 989-402-9989</t>
  </si>
  <si>
    <t xml:space="preserve">Thu–Fri 11:30 AM–1:00 PM (limited hours)</t>
  </si>
  <si>
    <t xml:space="preserve">Pizza + arcade hour for a family — footage-only or +$10</t>
  </si>
  <si>
    <t xml:space="preserve">Eco-minded owners 'in it for the reason, not the money' — mission pitch fits.</t>
  </si>
  <si>
    <t xml:space="preserve">Parlor Doughnuts</t>
  </si>
  <si>
    <t xml:space="preserve">Doughnuts / bakery</t>
  </si>
  <si>
    <t xml:space="preserve">+1 989-334-5816</t>
  </si>
  <si>
    <t xml:space="preserve">606 N Euclid Ave, Bay City, MI</t>
  </si>
  <si>
    <t xml:space="preserve">1:00–3:00 PM</t>
  </si>
  <si>
    <t xml:space="preserve">Free doughnut box + coffee — footage-only</t>
  </si>
  <si>
    <t xml:space="preserve">Layered doughnuts are camera bait. Franchise — manager may need owner OK.</t>
  </si>
  <si>
    <t xml:space="preserve">Nor-East Outdoors</t>
  </si>
  <si>
    <t xml:space="preserve">Outdoor rentals</t>
  </si>
  <si>
    <t xml:space="preserve">+1 989-600-1332</t>
  </si>
  <si>
    <t xml:space="preserve">3582 State Park Dr, Bay City, MI</t>
  </si>
  <si>
    <t xml:space="preserve">10:30 AM–12:00 PM Wed–Sun</t>
  </si>
  <si>
    <t xml:space="preserve">Free kayak/gear rental for raw action clips</t>
  </si>
  <si>
    <t xml:space="preserve">Near Bay City State Park. Tiny review count — hungry for exposure.</t>
  </si>
  <si>
    <t xml:space="preserve">Sweet Treats Ice Cream Shop</t>
  </si>
  <si>
    <t xml:space="preserve">+1 989-316-1398</t>
  </si>
  <si>
    <t xml:space="preserve">200 N Henry St, Bay City, MI</t>
  </si>
  <si>
    <t xml:space="preserve">Brand new, 1 review — will say yes to almost any exposure.</t>
  </si>
  <si>
    <t xml:space="preserve">Riverfront Grille and Lounge</t>
  </si>
  <si>
    <t xml:space="preserve">Restaurant (in DoubleTree)</t>
  </si>
  <si>
    <t xml:space="preserve">+1 989-460-1700</t>
  </si>
  <si>
    <t xml:space="preserve">One Wenonah Park Place, Bay City, MI</t>
  </si>
  <si>
    <t xml:space="preserve">Brunch for two + $20 for a 30s reel</t>
  </si>
  <si>
    <t xml:space="preserve">Inside DoubleTree — may route to hotel F&amp;B manager. Patio river views.</t>
  </si>
  <si>
    <t xml:space="preserve">Low</t>
  </si>
  <si>
    <t xml:space="preserve">North Peak Brewing Company</t>
  </si>
  <si>
    <t xml:space="preserve">Brewpub (group-owned)</t>
  </si>
  <si>
    <t xml:space="preserve">+1 728-231-5593</t>
  </si>
  <si>
    <t xml:space="preserve">1100 N Water St, Bay City, MI</t>
  </si>
  <si>
    <t xml:space="preserve">Flight + pizza for a 30s reel</t>
  </si>
  <si>
    <t xml:space="preserve">Just opened; part of a brewery group — decision may sit above the bar.</t>
  </si>
  <si>
    <t xml:space="preserve">Real Seafood Company</t>
  </si>
  <si>
    <t xml:space="preserve">Seafood (restaurant group)</t>
  </si>
  <si>
    <t xml:space="preserve">+1 989-778-1500</t>
  </si>
  <si>
    <t xml:space="preserve">199 Uptown Dr, Bay City, MI</t>
  </si>
  <si>
    <t xml:space="preserve">Dinner for two + $30 for a 45s reel</t>
  </si>
  <si>
    <t xml:space="preserve">Mainstreet Ventures group — corporate marketing decides. Email pitch better.</t>
  </si>
  <si>
    <t xml:space="preserve">DoubleTree by Hilton (rooms)</t>
  </si>
  <si>
    <t xml:space="preserve">Hotel</t>
  </si>
  <si>
    <t xml:space="preserve">Jennifer (GM, praised in reviews)</t>
  </si>
  <si>
    <t xml:space="preserve">+1 989-891-6000</t>
  </si>
  <si>
    <t xml:space="preserve">10:00–11:30 AM (ask for GM)</t>
  </si>
  <si>
    <t xml:space="preserve">One weeknight comped + $50 for a 45s room/river tour</t>
  </si>
  <si>
    <t xml:space="preserve">Brand-managed = slow approvals, but GM is named &amp; loved. Long-game target.</t>
  </si>
  <si>
    <t xml:space="preserve">Comfort Inn Bay City - Riverfront</t>
  </si>
  <si>
    <t xml:space="preserve">+1 989-892-3501</t>
  </si>
  <si>
    <t xml:space="preserve">501 Saginaw St, Bay City, MI</t>
  </si>
  <si>
    <t xml:space="preserve">10:00–11:30 AM</t>
  </si>
  <si>
    <t xml:space="preserve">Weeknight room comped for a 45s tour</t>
  </si>
  <si>
    <t xml:space="preserve">Franchise — owner-operator may have latitude. Ask who owns it.</t>
  </si>
  <si>
    <t xml:space="preserve">AmericInn by Wyndham</t>
  </si>
  <si>
    <t xml:space="preserve">Hotel / motel</t>
  </si>
  <si>
    <t xml:space="preserve">+1 989-414-6796</t>
  </si>
  <si>
    <t xml:space="preserve">3915 3 Mile Rd, Bay City, MI</t>
  </si>
  <si>
    <t xml:space="preserve">3.8</t>
  </si>
  <si>
    <t xml:space="preserve">Lower rating — needs the content most, but manage brand-fit.</t>
  </si>
  <si>
    <t xml:space="preserve">Holiday Inn Express &amp; Suites</t>
  </si>
  <si>
    <t xml:space="preserve">+1 989-667-3800</t>
  </si>
  <si>
    <t xml:space="preserve">3959 Traxler Ct, Bay City, MI</t>
  </si>
  <si>
    <t xml:space="preserve">Franchise approval chain. Park for later.</t>
  </si>
  <si>
    <t xml:space="preserve">Courtyard by Marriott</t>
  </si>
  <si>
    <t xml:space="preserve">Kelly (GM, named in reviews)</t>
  </si>
  <si>
    <t xml:space="preserve">+1 989-778-1800</t>
  </si>
  <si>
    <t xml:space="preserve">2 E Main St, Bay City, MI</t>
  </si>
  <si>
    <t xml:space="preserve">10:00–11:30 AM (ask for Kelly)</t>
  </si>
  <si>
    <t xml:space="preserve">Weeknight room comped + $50 for a 45s tour</t>
  </si>
  <si>
    <t xml:space="preserve">Marriott brand rules are strict, but a named, well-liked GM is an opening.</t>
  </si>
  <si>
    <t xml:space="preserve">Totals</t>
  </si>
  <si>
    <t xml:space="preserve">Signed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</si>
</sst>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1310"/>
        <bgColor rgb="FF000000"/>
      </patternFill>
    </fill>
    <fill>
      <patternFill patternType="solid">
        <fgColor rgb="FFE1F0E5"/>
        <bgColor rgb="FFF2F2F2"/>
      </patternFill>
    </fill>
    <fill>
      <patternFill patternType="solid">
        <fgColor rgb="FFFFF2CC"/>
        <bgColor rgb="FFFDF3DC"/>
      </patternFill>
    </fill>
    <fill>
      <patternFill patternType="solid">
        <fgColor rgb="FFFDF3DC"/>
        <bgColor rgb="FFFFF2CC"/>
      </patternFill>
    </fill>
    <fill>
      <patternFill patternType="solid">
        <fgColor rgb="FFF2F2F2"/>
        <bgColor rgb="FFFDF3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F0E5"/>
      <rgbColor rgb="FFFDF3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131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8"/>
    <col collapsed="false" customWidth="true" hidden="false" outlineLevel="0" max="8" min="8" style="0" width="20"/>
    <col collapsed="false" customWidth="true" hidden="false" outlineLevel="0" max="9" min="9" style="0" width="38"/>
    <col collapsed="false" customWidth="true" hidden="false" outlineLevel="0" max="10" min="10" style="0" width="16"/>
    <col collapsed="false" customWidth="true" hidden="false" outlineLevel="0" max="11" min="11" style="0" width="22"/>
    <col collapsed="false" customWidth="true" hidden="false" outlineLevel="0" max="12" min="12" style="0" width="24"/>
    <col collapsed="false" customWidth="true" hidden="false" outlineLevel="0" max="13" min="13" style="0" width="36"/>
  </cols>
  <sheetData>
    <row r="1" customFormat="false" ht="17.35" hidden="false" customHeight="false" outlineLevel="0" collapsed="false">
      <c r="A1" s="1" t="s">
        <v>0</v>
      </c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4" t="s">
        <v>27</v>
      </c>
    </row>
    <row r="6" customFormat="false" ht="23.85" hidden="false" customHeight="false" outlineLevel="0" collapsed="false">
      <c r="A6" s="5" t="s">
        <v>15</v>
      </c>
      <c r="B6" s="6" t="s">
        <v>28</v>
      </c>
      <c r="C6" s="7" t="s">
        <v>17</v>
      </c>
      <c r="D6" s="7" t="s">
        <v>29</v>
      </c>
      <c r="E6" s="7" t="s">
        <v>30</v>
      </c>
      <c r="F6" s="7" t="s">
        <v>31</v>
      </c>
      <c r="G6" s="7" t="s">
        <v>32</v>
      </c>
      <c r="H6" s="7" t="s">
        <v>33</v>
      </c>
      <c r="I6" s="7" t="s">
        <v>34</v>
      </c>
      <c r="J6" s="8" t="s">
        <v>35</v>
      </c>
      <c r="K6" s="8"/>
      <c r="L6" s="8"/>
      <c r="M6" s="8" t="s">
        <v>36</v>
      </c>
    </row>
    <row r="7" customFormat="false" ht="23.85" hidden="false" customHeight="false" outlineLevel="0" collapsed="false">
      <c r="A7" s="5" t="s">
        <v>15</v>
      </c>
      <c r="B7" s="6" t="s">
        <v>37</v>
      </c>
      <c r="C7" s="7" t="s">
        <v>38</v>
      </c>
      <c r="D7" s="7" t="s">
        <v>39</v>
      </c>
      <c r="E7" s="7" t="s">
        <v>40</v>
      </c>
      <c r="F7" s="7" t="s">
        <v>41</v>
      </c>
      <c r="G7" s="7" t="s">
        <v>42</v>
      </c>
      <c r="H7" s="7" t="s">
        <v>43</v>
      </c>
      <c r="I7" s="7" t="s">
        <v>44</v>
      </c>
      <c r="J7" s="8" t="s">
        <v>35</v>
      </c>
      <c r="K7" s="8"/>
      <c r="L7" s="8"/>
      <c r="M7" s="8" t="s">
        <v>45</v>
      </c>
    </row>
    <row r="8" customFormat="false" ht="35.05" hidden="false" customHeight="false" outlineLevel="0" collapsed="false">
      <c r="A8" s="5" t="s">
        <v>15</v>
      </c>
      <c r="B8" s="6" t="s">
        <v>46</v>
      </c>
      <c r="C8" s="7" t="s">
        <v>47</v>
      </c>
      <c r="D8" s="7" t="s">
        <v>48</v>
      </c>
      <c r="E8" s="7" t="s">
        <v>49</v>
      </c>
      <c r="F8" s="7" t="s">
        <v>50</v>
      </c>
      <c r="G8" s="7" t="s">
        <v>51</v>
      </c>
      <c r="H8" s="7" t="s">
        <v>52</v>
      </c>
      <c r="I8" s="7" t="s">
        <v>53</v>
      </c>
      <c r="J8" s="8" t="s">
        <v>35</v>
      </c>
      <c r="K8" s="8"/>
      <c r="L8" s="8"/>
      <c r="M8" s="8" t="s">
        <v>54</v>
      </c>
    </row>
    <row r="9" customFormat="false" ht="23.85" hidden="false" customHeight="false" outlineLevel="0" collapsed="false">
      <c r="A9" s="5" t="s">
        <v>15</v>
      </c>
      <c r="B9" s="6" t="s">
        <v>55</v>
      </c>
      <c r="C9" s="7" t="s">
        <v>56</v>
      </c>
      <c r="D9" s="7" t="s">
        <v>57</v>
      </c>
      <c r="E9" s="7" t="s">
        <v>58</v>
      </c>
      <c r="F9" s="7" t="s">
        <v>59</v>
      </c>
      <c r="G9" s="7" t="s">
        <v>60</v>
      </c>
      <c r="H9" s="7" t="s">
        <v>61</v>
      </c>
      <c r="I9" s="7" t="s">
        <v>62</v>
      </c>
      <c r="J9" s="8" t="s">
        <v>35</v>
      </c>
      <c r="K9" s="8"/>
      <c r="L9" s="8"/>
      <c r="M9" s="8" t="s">
        <v>63</v>
      </c>
    </row>
    <row r="10" customFormat="false" ht="23.85" hidden="false" customHeight="false" outlineLevel="0" collapsed="false">
      <c r="A10" s="5" t="s">
        <v>15</v>
      </c>
      <c r="B10" s="6" t="s">
        <v>64</v>
      </c>
      <c r="C10" s="7" t="s">
        <v>65</v>
      </c>
      <c r="D10" s="7" t="s">
        <v>66</v>
      </c>
      <c r="E10" s="7" t="s">
        <v>67</v>
      </c>
      <c r="F10" s="7" t="s">
        <v>68</v>
      </c>
      <c r="G10" s="7" t="s">
        <v>69</v>
      </c>
      <c r="H10" s="7" t="s">
        <v>70</v>
      </c>
      <c r="I10" s="7" t="s">
        <v>71</v>
      </c>
      <c r="J10" s="8" t="s">
        <v>35</v>
      </c>
      <c r="K10" s="8"/>
      <c r="L10" s="8"/>
      <c r="M10" s="8" t="s">
        <v>72</v>
      </c>
    </row>
    <row r="11" customFormat="false" ht="23.85" hidden="false" customHeight="false" outlineLevel="0" collapsed="false">
      <c r="A11" s="5" t="s">
        <v>15</v>
      </c>
      <c r="B11" s="6" t="s">
        <v>73</v>
      </c>
      <c r="C11" s="7" t="s">
        <v>74</v>
      </c>
      <c r="D11" s="7" t="s">
        <v>75</v>
      </c>
      <c r="E11" s="7" t="s">
        <v>76</v>
      </c>
      <c r="F11" s="7" t="s">
        <v>77</v>
      </c>
      <c r="G11" s="7" t="s">
        <v>60</v>
      </c>
      <c r="H11" s="7" t="s">
        <v>78</v>
      </c>
      <c r="I11" s="7" t="s">
        <v>79</v>
      </c>
      <c r="J11" s="8" t="s">
        <v>35</v>
      </c>
      <c r="K11" s="8"/>
      <c r="L11" s="8"/>
      <c r="M11" s="8" t="s">
        <v>80</v>
      </c>
    </row>
    <row r="12" customFormat="false" ht="23.85" hidden="false" customHeight="false" outlineLevel="0" collapsed="false">
      <c r="A12" s="5" t="s">
        <v>15</v>
      </c>
      <c r="B12" s="6" t="s">
        <v>81</v>
      </c>
      <c r="C12" s="7" t="s">
        <v>82</v>
      </c>
      <c r="D12" s="7" t="s">
        <v>75</v>
      </c>
      <c r="E12" s="7" t="s">
        <v>83</v>
      </c>
      <c r="F12" s="7" t="s">
        <v>84</v>
      </c>
      <c r="G12" s="7" t="s">
        <v>85</v>
      </c>
      <c r="H12" s="7" t="s">
        <v>22</v>
      </c>
      <c r="I12" s="7" t="s">
        <v>86</v>
      </c>
      <c r="J12" s="8" t="s">
        <v>35</v>
      </c>
      <c r="K12" s="8"/>
      <c r="L12" s="8"/>
      <c r="M12" s="8" t="s">
        <v>87</v>
      </c>
    </row>
    <row r="13" customFormat="false" ht="23.85" hidden="false" customHeight="false" outlineLevel="0" collapsed="false">
      <c r="A13" s="5" t="s">
        <v>15</v>
      </c>
      <c r="B13" s="6" t="s">
        <v>88</v>
      </c>
      <c r="C13" s="7" t="s">
        <v>89</v>
      </c>
      <c r="D13" s="7" t="s">
        <v>75</v>
      </c>
      <c r="E13" s="7" t="s">
        <v>90</v>
      </c>
      <c r="F13" s="7" t="s">
        <v>91</v>
      </c>
      <c r="G13" s="7" t="s">
        <v>42</v>
      </c>
      <c r="H13" s="7" t="s">
        <v>92</v>
      </c>
      <c r="I13" s="7" t="s">
        <v>93</v>
      </c>
      <c r="J13" s="8" t="s">
        <v>35</v>
      </c>
      <c r="K13" s="8"/>
      <c r="L13" s="8"/>
      <c r="M13" s="8" t="s">
        <v>94</v>
      </c>
    </row>
    <row r="14" customFormat="false" ht="23.85" hidden="false" customHeight="false" outlineLevel="0" collapsed="false">
      <c r="A14" s="5" t="s">
        <v>15</v>
      </c>
      <c r="B14" s="6" t="s">
        <v>95</v>
      </c>
      <c r="C14" s="7" t="s">
        <v>96</v>
      </c>
      <c r="D14" s="7" t="s">
        <v>75</v>
      </c>
      <c r="E14" s="7" t="s">
        <v>97</v>
      </c>
      <c r="F14" s="7" t="s">
        <v>98</v>
      </c>
      <c r="G14" s="7" t="s">
        <v>99</v>
      </c>
      <c r="H14" s="7" t="s">
        <v>100</v>
      </c>
      <c r="I14" s="7" t="s">
        <v>101</v>
      </c>
      <c r="J14" s="8" t="s">
        <v>35</v>
      </c>
      <c r="K14" s="8"/>
      <c r="L14" s="8"/>
      <c r="M14" s="8" t="s">
        <v>102</v>
      </c>
    </row>
    <row r="15" customFormat="false" ht="23.85" hidden="false" customHeight="false" outlineLevel="0" collapsed="false">
      <c r="A15" s="5" t="s">
        <v>15</v>
      </c>
      <c r="B15" s="6" t="s">
        <v>103</v>
      </c>
      <c r="C15" s="7" t="s">
        <v>56</v>
      </c>
      <c r="D15" s="7" t="s">
        <v>75</v>
      </c>
      <c r="E15" s="7" t="s">
        <v>104</v>
      </c>
      <c r="F15" s="7" t="s">
        <v>50</v>
      </c>
      <c r="G15" s="7" t="s">
        <v>42</v>
      </c>
      <c r="H15" s="7" t="s">
        <v>105</v>
      </c>
      <c r="I15" s="7" t="s">
        <v>106</v>
      </c>
      <c r="J15" s="8" t="s">
        <v>35</v>
      </c>
      <c r="K15" s="8"/>
      <c r="L15" s="8"/>
      <c r="M15" s="8" t="s">
        <v>107</v>
      </c>
    </row>
    <row r="16" customFormat="false" ht="23.85" hidden="false" customHeight="false" outlineLevel="0" collapsed="false">
      <c r="A16" s="5" t="s">
        <v>15</v>
      </c>
      <c r="B16" s="6" t="s">
        <v>108</v>
      </c>
      <c r="C16" s="7" t="s">
        <v>109</v>
      </c>
      <c r="D16" s="7" t="s">
        <v>75</v>
      </c>
      <c r="E16" s="7" t="s">
        <v>110</v>
      </c>
      <c r="F16" s="7" t="s">
        <v>111</v>
      </c>
      <c r="G16" s="7" t="s">
        <v>32</v>
      </c>
      <c r="H16" s="7" t="s">
        <v>112</v>
      </c>
      <c r="I16" s="7" t="s">
        <v>113</v>
      </c>
      <c r="J16" s="8" t="s">
        <v>35</v>
      </c>
      <c r="K16" s="8"/>
      <c r="L16" s="8"/>
      <c r="M16" s="8" t="s">
        <v>114</v>
      </c>
    </row>
    <row r="17" customFormat="false" ht="23.85" hidden="false" customHeight="false" outlineLevel="0" collapsed="false">
      <c r="A17" s="5" t="s">
        <v>15</v>
      </c>
      <c r="B17" s="6" t="s">
        <v>115</v>
      </c>
      <c r="C17" s="7" t="s">
        <v>116</v>
      </c>
      <c r="D17" s="7" t="s">
        <v>75</v>
      </c>
      <c r="E17" s="7" t="s">
        <v>117</v>
      </c>
      <c r="F17" s="7" t="s">
        <v>118</v>
      </c>
      <c r="G17" s="7" t="s">
        <v>42</v>
      </c>
      <c r="H17" s="7" t="s">
        <v>119</v>
      </c>
      <c r="I17" s="7" t="s">
        <v>120</v>
      </c>
      <c r="J17" s="8" t="s">
        <v>35</v>
      </c>
      <c r="K17" s="8"/>
      <c r="L17" s="8"/>
      <c r="M17" s="8" t="s">
        <v>121</v>
      </c>
    </row>
    <row r="18" customFormat="false" ht="23.85" hidden="false" customHeight="false" outlineLevel="0" collapsed="false">
      <c r="A18" s="5" t="s">
        <v>15</v>
      </c>
      <c r="B18" s="6" t="s">
        <v>122</v>
      </c>
      <c r="C18" s="7" t="s">
        <v>56</v>
      </c>
      <c r="D18" s="7" t="s">
        <v>123</v>
      </c>
      <c r="E18" s="7" t="s">
        <v>124</v>
      </c>
      <c r="F18" s="7" t="s">
        <v>125</v>
      </c>
      <c r="G18" s="7" t="s">
        <v>21</v>
      </c>
      <c r="H18" s="7" t="s">
        <v>126</v>
      </c>
      <c r="I18" s="7" t="s">
        <v>127</v>
      </c>
      <c r="J18" s="8" t="s">
        <v>35</v>
      </c>
      <c r="K18" s="8"/>
      <c r="L18" s="8"/>
      <c r="M18" s="8" t="s">
        <v>128</v>
      </c>
    </row>
    <row r="19" customFormat="false" ht="35.05" hidden="false" customHeight="false" outlineLevel="0" collapsed="false">
      <c r="A19" s="5" t="s">
        <v>15</v>
      </c>
      <c r="B19" s="6" t="s">
        <v>129</v>
      </c>
      <c r="C19" s="7" t="s">
        <v>17</v>
      </c>
      <c r="D19" s="7" t="s">
        <v>130</v>
      </c>
      <c r="E19" s="7" t="s">
        <v>131</v>
      </c>
      <c r="F19" s="7" t="s">
        <v>132</v>
      </c>
      <c r="G19" s="7" t="s">
        <v>32</v>
      </c>
      <c r="H19" s="7" t="s">
        <v>133</v>
      </c>
      <c r="I19" s="7" t="s">
        <v>134</v>
      </c>
      <c r="J19" s="8" t="s">
        <v>35</v>
      </c>
      <c r="K19" s="8"/>
      <c r="L19" s="8"/>
      <c r="M19" s="8" t="s">
        <v>135</v>
      </c>
    </row>
    <row r="20" customFormat="false" ht="23.85" hidden="false" customHeight="false" outlineLevel="0" collapsed="false">
      <c r="A20" s="9" t="s">
        <v>136</v>
      </c>
      <c r="B20" s="6" t="s">
        <v>137</v>
      </c>
      <c r="C20" s="7" t="s">
        <v>138</v>
      </c>
      <c r="D20" s="7" t="s">
        <v>75</v>
      </c>
      <c r="E20" s="7" t="s">
        <v>139</v>
      </c>
      <c r="F20" s="7" t="s">
        <v>140</v>
      </c>
      <c r="G20" s="7" t="s">
        <v>32</v>
      </c>
      <c r="H20" s="7" t="s">
        <v>141</v>
      </c>
      <c r="I20" s="7" t="s">
        <v>53</v>
      </c>
      <c r="J20" s="8" t="s">
        <v>35</v>
      </c>
      <c r="K20" s="8"/>
      <c r="L20" s="8"/>
      <c r="M20" s="8" t="s">
        <v>142</v>
      </c>
    </row>
    <row r="21" customFormat="false" ht="23.85" hidden="false" customHeight="false" outlineLevel="0" collapsed="false">
      <c r="A21" s="9" t="s">
        <v>136</v>
      </c>
      <c r="B21" s="6" t="s">
        <v>143</v>
      </c>
      <c r="C21" s="7" t="s">
        <v>144</v>
      </c>
      <c r="D21" s="7" t="s">
        <v>75</v>
      </c>
      <c r="E21" s="7" t="s">
        <v>145</v>
      </c>
      <c r="F21" s="7" t="s">
        <v>146</v>
      </c>
      <c r="G21" s="7" t="s">
        <v>60</v>
      </c>
      <c r="H21" s="7" t="s">
        <v>147</v>
      </c>
      <c r="I21" s="7" t="s">
        <v>148</v>
      </c>
      <c r="J21" s="8" t="s">
        <v>35</v>
      </c>
      <c r="K21" s="8"/>
      <c r="L21" s="8"/>
      <c r="M21" s="8" t="s">
        <v>149</v>
      </c>
    </row>
    <row r="22" customFormat="false" ht="23.85" hidden="false" customHeight="false" outlineLevel="0" collapsed="false">
      <c r="A22" s="9" t="s">
        <v>136</v>
      </c>
      <c r="B22" s="6" t="s">
        <v>150</v>
      </c>
      <c r="C22" s="7" t="s">
        <v>151</v>
      </c>
      <c r="D22" s="7" t="s">
        <v>75</v>
      </c>
      <c r="E22" s="7" t="s">
        <v>152</v>
      </c>
      <c r="F22" s="7" t="s">
        <v>153</v>
      </c>
      <c r="G22" s="7" t="s">
        <v>21</v>
      </c>
      <c r="H22" s="7" t="s">
        <v>22</v>
      </c>
      <c r="I22" s="7" t="s">
        <v>154</v>
      </c>
      <c r="J22" s="8" t="s">
        <v>35</v>
      </c>
      <c r="K22" s="8"/>
      <c r="L22" s="8"/>
      <c r="M22" s="8" t="s">
        <v>155</v>
      </c>
    </row>
    <row r="23" customFormat="false" ht="23.85" hidden="false" customHeight="false" outlineLevel="0" collapsed="false">
      <c r="A23" s="9" t="s">
        <v>136</v>
      </c>
      <c r="B23" s="6" t="s">
        <v>156</v>
      </c>
      <c r="C23" s="7" t="s">
        <v>157</v>
      </c>
      <c r="D23" s="7" t="s">
        <v>75</v>
      </c>
      <c r="E23" s="7" t="s">
        <v>158</v>
      </c>
      <c r="F23" s="7" t="s">
        <v>159</v>
      </c>
      <c r="G23" s="7" t="s">
        <v>32</v>
      </c>
      <c r="H23" s="7" t="s">
        <v>92</v>
      </c>
      <c r="I23" s="7" t="s">
        <v>160</v>
      </c>
      <c r="J23" s="8" t="s">
        <v>35</v>
      </c>
      <c r="K23" s="8"/>
      <c r="L23" s="8"/>
      <c r="M23" s="8" t="s">
        <v>161</v>
      </c>
    </row>
    <row r="24" customFormat="false" ht="23.85" hidden="false" customHeight="false" outlineLevel="0" collapsed="false">
      <c r="A24" s="9" t="s">
        <v>136</v>
      </c>
      <c r="B24" s="6" t="s">
        <v>162</v>
      </c>
      <c r="C24" s="7" t="s">
        <v>163</v>
      </c>
      <c r="D24" s="7" t="s">
        <v>75</v>
      </c>
      <c r="E24" s="7" t="s">
        <v>164</v>
      </c>
      <c r="F24" s="7" t="s">
        <v>165</v>
      </c>
      <c r="G24" s="7" t="s">
        <v>32</v>
      </c>
      <c r="H24" s="7" t="s">
        <v>92</v>
      </c>
      <c r="I24" s="7" t="s">
        <v>166</v>
      </c>
      <c r="J24" s="8" t="s">
        <v>35</v>
      </c>
      <c r="K24" s="8"/>
      <c r="L24" s="8"/>
      <c r="M24" s="8" t="s">
        <v>167</v>
      </c>
    </row>
    <row r="25" customFormat="false" ht="35.05" hidden="false" customHeight="false" outlineLevel="0" collapsed="false">
      <c r="A25" s="9" t="s">
        <v>136</v>
      </c>
      <c r="B25" s="6" t="s">
        <v>168</v>
      </c>
      <c r="C25" s="7" t="s">
        <v>89</v>
      </c>
      <c r="D25" s="7" t="s">
        <v>75</v>
      </c>
      <c r="E25" s="7" t="s">
        <v>169</v>
      </c>
      <c r="F25" s="7" t="s">
        <v>170</v>
      </c>
      <c r="G25" s="7" t="s">
        <v>99</v>
      </c>
      <c r="H25" s="7" t="s">
        <v>92</v>
      </c>
      <c r="I25" s="7" t="s">
        <v>160</v>
      </c>
      <c r="J25" s="8" t="s">
        <v>35</v>
      </c>
      <c r="K25" s="8"/>
      <c r="L25" s="8"/>
      <c r="M25" s="8" t="s">
        <v>171</v>
      </c>
    </row>
    <row r="26" customFormat="false" ht="23.85" hidden="false" customHeight="false" outlineLevel="0" collapsed="false">
      <c r="A26" s="9" t="s">
        <v>136</v>
      </c>
      <c r="B26" s="6" t="s">
        <v>172</v>
      </c>
      <c r="C26" s="7" t="s">
        <v>47</v>
      </c>
      <c r="D26" s="7" t="s">
        <v>173</v>
      </c>
      <c r="E26" s="7" t="s">
        <v>174</v>
      </c>
      <c r="F26" s="7" t="s">
        <v>175</v>
      </c>
      <c r="G26" s="7" t="s">
        <v>60</v>
      </c>
      <c r="H26" s="7" t="s">
        <v>22</v>
      </c>
      <c r="I26" s="7" t="s">
        <v>176</v>
      </c>
      <c r="J26" s="8" t="s">
        <v>35</v>
      </c>
      <c r="K26" s="8"/>
      <c r="L26" s="8"/>
      <c r="M26" s="8" t="s">
        <v>177</v>
      </c>
    </row>
    <row r="27" customFormat="false" ht="23.85" hidden="false" customHeight="false" outlineLevel="0" collapsed="false">
      <c r="A27" s="9" t="s">
        <v>136</v>
      </c>
      <c r="B27" s="6" t="s">
        <v>178</v>
      </c>
      <c r="C27" s="7" t="s">
        <v>38</v>
      </c>
      <c r="D27" s="7" t="s">
        <v>75</v>
      </c>
      <c r="E27" s="7" t="s">
        <v>179</v>
      </c>
      <c r="F27" s="7" t="s">
        <v>180</v>
      </c>
      <c r="G27" s="7" t="s">
        <v>85</v>
      </c>
      <c r="H27" s="7" t="s">
        <v>92</v>
      </c>
      <c r="I27" s="7" t="s">
        <v>181</v>
      </c>
      <c r="J27" s="8" t="s">
        <v>35</v>
      </c>
      <c r="K27" s="8"/>
      <c r="L27" s="8"/>
      <c r="M27" s="8" t="s">
        <v>182</v>
      </c>
    </row>
    <row r="28" customFormat="false" ht="23.85" hidden="false" customHeight="false" outlineLevel="0" collapsed="false">
      <c r="A28" s="9" t="s">
        <v>136</v>
      </c>
      <c r="B28" s="6" t="s">
        <v>183</v>
      </c>
      <c r="C28" s="7" t="s">
        <v>184</v>
      </c>
      <c r="D28" s="7" t="s">
        <v>185</v>
      </c>
      <c r="E28" s="7" t="s">
        <v>186</v>
      </c>
      <c r="F28" s="7" t="s">
        <v>187</v>
      </c>
      <c r="G28" s="7" t="s">
        <v>21</v>
      </c>
      <c r="H28" s="7" t="s">
        <v>141</v>
      </c>
      <c r="I28" s="7" t="s">
        <v>188</v>
      </c>
      <c r="J28" s="8" t="s">
        <v>35</v>
      </c>
      <c r="K28" s="8"/>
      <c r="L28" s="8"/>
      <c r="M28" s="8" t="s">
        <v>189</v>
      </c>
    </row>
    <row r="29" customFormat="false" ht="23.85" hidden="false" customHeight="false" outlineLevel="0" collapsed="false">
      <c r="A29" s="9" t="s">
        <v>136</v>
      </c>
      <c r="B29" s="6" t="s">
        <v>190</v>
      </c>
      <c r="C29" s="7" t="s">
        <v>191</v>
      </c>
      <c r="D29" s="7" t="s">
        <v>75</v>
      </c>
      <c r="E29" s="7" t="s">
        <v>192</v>
      </c>
      <c r="F29" s="7" t="s">
        <v>193</v>
      </c>
      <c r="G29" s="7" t="s">
        <v>85</v>
      </c>
      <c r="H29" s="7" t="s">
        <v>194</v>
      </c>
      <c r="I29" s="7" t="s">
        <v>195</v>
      </c>
      <c r="J29" s="8" t="s">
        <v>35</v>
      </c>
      <c r="K29" s="8"/>
      <c r="L29" s="8"/>
      <c r="M29" s="8" t="s">
        <v>196</v>
      </c>
    </row>
    <row r="30" customFormat="false" ht="23.85" hidden="false" customHeight="false" outlineLevel="0" collapsed="false">
      <c r="A30" s="9" t="s">
        <v>136</v>
      </c>
      <c r="B30" s="6" t="s">
        <v>197</v>
      </c>
      <c r="C30" s="7" t="s">
        <v>198</v>
      </c>
      <c r="D30" s="7" t="s">
        <v>75</v>
      </c>
      <c r="E30" s="7" t="s">
        <v>199</v>
      </c>
      <c r="F30" s="7" t="s">
        <v>125</v>
      </c>
      <c r="G30" s="7" t="s">
        <v>69</v>
      </c>
      <c r="H30" s="7" t="s">
        <v>200</v>
      </c>
      <c r="I30" s="7" t="s">
        <v>201</v>
      </c>
      <c r="J30" s="8" t="s">
        <v>35</v>
      </c>
      <c r="K30" s="8"/>
      <c r="L30" s="8"/>
      <c r="M30" s="8" t="s">
        <v>202</v>
      </c>
    </row>
    <row r="31" customFormat="false" ht="23.85" hidden="false" customHeight="false" outlineLevel="0" collapsed="false">
      <c r="A31" s="9" t="s">
        <v>136</v>
      </c>
      <c r="B31" s="6" t="s">
        <v>203</v>
      </c>
      <c r="C31" s="7" t="s">
        <v>204</v>
      </c>
      <c r="D31" s="7" t="s">
        <v>75</v>
      </c>
      <c r="E31" s="7" t="s">
        <v>205</v>
      </c>
      <c r="F31" s="7" t="s">
        <v>206</v>
      </c>
      <c r="G31" s="7" t="s">
        <v>32</v>
      </c>
      <c r="H31" s="7" t="s">
        <v>207</v>
      </c>
      <c r="I31" s="7" t="s">
        <v>208</v>
      </c>
      <c r="J31" s="8" t="s">
        <v>35</v>
      </c>
      <c r="K31" s="8"/>
      <c r="L31" s="8"/>
      <c r="M31" s="8" t="s">
        <v>209</v>
      </c>
    </row>
    <row r="32" customFormat="false" ht="23.85" hidden="false" customHeight="false" outlineLevel="0" collapsed="false">
      <c r="A32" s="9" t="s">
        <v>136</v>
      </c>
      <c r="B32" s="6" t="s">
        <v>210</v>
      </c>
      <c r="C32" s="7" t="s">
        <v>211</v>
      </c>
      <c r="D32" s="7" t="s">
        <v>75</v>
      </c>
      <c r="E32" s="7" t="s">
        <v>212</v>
      </c>
      <c r="F32" s="7" t="s">
        <v>213</v>
      </c>
      <c r="G32" s="7" t="s">
        <v>69</v>
      </c>
      <c r="H32" s="7" t="s">
        <v>214</v>
      </c>
      <c r="I32" s="7" t="s">
        <v>215</v>
      </c>
      <c r="J32" s="8" t="s">
        <v>35</v>
      </c>
      <c r="K32" s="8"/>
      <c r="L32" s="8"/>
      <c r="M32" s="8" t="s">
        <v>216</v>
      </c>
    </row>
    <row r="33" customFormat="false" ht="23.85" hidden="false" customHeight="false" outlineLevel="0" collapsed="false">
      <c r="A33" s="9" t="s">
        <v>136</v>
      </c>
      <c r="B33" s="6" t="s">
        <v>217</v>
      </c>
      <c r="C33" s="7" t="s">
        <v>56</v>
      </c>
      <c r="D33" s="7" t="s">
        <v>75</v>
      </c>
      <c r="E33" s="7" t="s">
        <v>218</v>
      </c>
      <c r="F33" s="7" t="s">
        <v>219</v>
      </c>
      <c r="G33" s="7" t="s">
        <v>69</v>
      </c>
      <c r="H33" s="7" t="s">
        <v>207</v>
      </c>
      <c r="I33" s="7" t="s">
        <v>127</v>
      </c>
      <c r="J33" s="8" t="s">
        <v>35</v>
      </c>
      <c r="K33" s="8"/>
      <c r="L33" s="8"/>
      <c r="M33" s="8" t="s">
        <v>220</v>
      </c>
    </row>
    <row r="34" customFormat="false" ht="23.85" hidden="false" customHeight="false" outlineLevel="0" collapsed="false">
      <c r="A34" s="9" t="s">
        <v>136</v>
      </c>
      <c r="B34" s="6" t="s">
        <v>221</v>
      </c>
      <c r="C34" s="7" t="s">
        <v>222</v>
      </c>
      <c r="D34" s="7" t="s">
        <v>75</v>
      </c>
      <c r="E34" s="7" t="s">
        <v>223</v>
      </c>
      <c r="F34" s="7" t="s">
        <v>224</v>
      </c>
      <c r="G34" s="7" t="s">
        <v>51</v>
      </c>
      <c r="H34" s="7" t="s">
        <v>119</v>
      </c>
      <c r="I34" s="7" t="s">
        <v>225</v>
      </c>
      <c r="J34" s="8" t="s">
        <v>35</v>
      </c>
      <c r="K34" s="8"/>
      <c r="L34" s="8"/>
      <c r="M34" s="8" t="s">
        <v>226</v>
      </c>
    </row>
    <row r="35" customFormat="false" ht="23.85" hidden="false" customHeight="false" outlineLevel="0" collapsed="false">
      <c r="A35" s="10" t="s">
        <v>227</v>
      </c>
      <c r="B35" s="6" t="s">
        <v>228</v>
      </c>
      <c r="C35" s="7" t="s">
        <v>229</v>
      </c>
      <c r="D35" s="7" t="s">
        <v>75</v>
      </c>
      <c r="E35" s="7" t="s">
        <v>230</v>
      </c>
      <c r="F35" s="7" t="s">
        <v>231</v>
      </c>
      <c r="G35" s="7" t="s">
        <v>32</v>
      </c>
      <c r="H35" s="7" t="s">
        <v>22</v>
      </c>
      <c r="I35" s="7" t="s">
        <v>232</v>
      </c>
      <c r="J35" s="8" t="s">
        <v>35</v>
      </c>
      <c r="K35" s="8"/>
      <c r="L35" s="8"/>
      <c r="M35" s="8" t="s">
        <v>233</v>
      </c>
    </row>
    <row r="36" customFormat="false" ht="23.85" hidden="false" customHeight="false" outlineLevel="0" collapsed="false">
      <c r="A36" s="10" t="s">
        <v>227</v>
      </c>
      <c r="B36" s="6" t="s">
        <v>234</v>
      </c>
      <c r="C36" s="7" t="s">
        <v>235</v>
      </c>
      <c r="D36" s="7" t="s">
        <v>75</v>
      </c>
      <c r="E36" s="7" t="s">
        <v>236</v>
      </c>
      <c r="F36" s="7" t="s">
        <v>237</v>
      </c>
      <c r="G36" s="7" t="s">
        <v>51</v>
      </c>
      <c r="H36" s="7" t="s">
        <v>119</v>
      </c>
      <c r="I36" s="7" t="s">
        <v>238</v>
      </c>
      <c r="J36" s="8" t="s">
        <v>35</v>
      </c>
      <c r="K36" s="8"/>
      <c r="L36" s="8"/>
      <c r="M36" s="8" t="s">
        <v>239</v>
      </c>
    </row>
    <row r="37" customFormat="false" ht="23.85" hidden="false" customHeight="false" outlineLevel="0" collapsed="false">
      <c r="A37" s="10" t="s">
        <v>227</v>
      </c>
      <c r="B37" s="6" t="s">
        <v>240</v>
      </c>
      <c r="C37" s="7" t="s">
        <v>241</v>
      </c>
      <c r="D37" s="7" t="s">
        <v>242</v>
      </c>
      <c r="E37" s="7" t="s">
        <v>243</v>
      </c>
      <c r="F37" s="7" t="s">
        <v>224</v>
      </c>
      <c r="G37" s="7" t="s">
        <v>21</v>
      </c>
      <c r="H37" s="7" t="s">
        <v>244</v>
      </c>
      <c r="I37" s="7" t="s">
        <v>245</v>
      </c>
      <c r="J37" s="8" t="s">
        <v>35</v>
      </c>
      <c r="K37" s="8"/>
      <c r="L37" s="8"/>
      <c r="M37" s="8" t="s">
        <v>246</v>
      </c>
    </row>
    <row r="38" customFormat="false" ht="23.85" hidden="false" customHeight="false" outlineLevel="0" collapsed="false">
      <c r="A38" s="10" t="s">
        <v>227</v>
      </c>
      <c r="B38" s="6" t="s">
        <v>247</v>
      </c>
      <c r="C38" s="7" t="s">
        <v>241</v>
      </c>
      <c r="D38" s="7" t="s">
        <v>75</v>
      </c>
      <c r="E38" s="7" t="s">
        <v>248</v>
      </c>
      <c r="F38" s="7" t="s">
        <v>249</v>
      </c>
      <c r="G38" s="7" t="s">
        <v>51</v>
      </c>
      <c r="H38" s="7" t="s">
        <v>250</v>
      </c>
      <c r="I38" s="7" t="s">
        <v>251</v>
      </c>
      <c r="J38" s="8" t="s">
        <v>35</v>
      </c>
      <c r="K38" s="8"/>
      <c r="L38" s="8"/>
      <c r="M38" s="8" t="s">
        <v>252</v>
      </c>
    </row>
    <row r="39" customFormat="false" ht="23.85" hidden="false" customHeight="false" outlineLevel="0" collapsed="false">
      <c r="A39" s="10" t="s">
        <v>227</v>
      </c>
      <c r="B39" s="6" t="s">
        <v>253</v>
      </c>
      <c r="C39" s="7" t="s">
        <v>254</v>
      </c>
      <c r="D39" s="7" t="s">
        <v>75</v>
      </c>
      <c r="E39" s="7" t="s">
        <v>255</v>
      </c>
      <c r="F39" s="7" t="s">
        <v>256</v>
      </c>
      <c r="G39" s="7" t="s">
        <v>257</v>
      </c>
      <c r="H39" s="7" t="s">
        <v>250</v>
      </c>
      <c r="I39" s="7" t="s">
        <v>251</v>
      </c>
      <c r="J39" s="8" t="s">
        <v>35</v>
      </c>
      <c r="K39" s="8"/>
      <c r="L39" s="8"/>
      <c r="M39" s="8" t="s">
        <v>258</v>
      </c>
    </row>
    <row r="40" customFormat="false" ht="15" hidden="false" customHeight="false" outlineLevel="0" collapsed="false">
      <c r="A40" s="10" t="s">
        <v>227</v>
      </c>
      <c r="B40" s="6" t="s">
        <v>259</v>
      </c>
      <c r="C40" s="7" t="s">
        <v>241</v>
      </c>
      <c r="D40" s="7" t="s">
        <v>75</v>
      </c>
      <c r="E40" s="7" t="s">
        <v>260</v>
      </c>
      <c r="F40" s="7" t="s">
        <v>261</v>
      </c>
      <c r="G40" s="7" t="s">
        <v>51</v>
      </c>
      <c r="H40" s="7" t="s">
        <v>250</v>
      </c>
      <c r="I40" s="7" t="s">
        <v>251</v>
      </c>
      <c r="J40" s="8" t="s">
        <v>35</v>
      </c>
      <c r="K40" s="8"/>
      <c r="L40" s="8"/>
      <c r="M40" s="8" t="s">
        <v>262</v>
      </c>
    </row>
    <row r="41" customFormat="false" ht="23.85" hidden="false" customHeight="false" outlineLevel="0" collapsed="false">
      <c r="A41" s="10" t="s">
        <v>227</v>
      </c>
      <c r="B41" s="6" t="s">
        <v>263</v>
      </c>
      <c r="C41" s="7" t="s">
        <v>241</v>
      </c>
      <c r="D41" s="7" t="s">
        <v>264</v>
      </c>
      <c r="E41" s="7" t="s">
        <v>265</v>
      </c>
      <c r="F41" s="7" t="s">
        <v>266</v>
      </c>
      <c r="G41" s="7" t="s">
        <v>85</v>
      </c>
      <c r="H41" s="7" t="s">
        <v>267</v>
      </c>
      <c r="I41" s="7" t="s">
        <v>268</v>
      </c>
      <c r="J41" s="8" t="s">
        <v>35</v>
      </c>
      <c r="K41" s="8"/>
      <c r="L41" s="8"/>
      <c r="M41" s="8" t="s">
        <v>269</v>
      </c>
    </row>
    <row r="43" customFormat="false" ht="15" hidden="false" customHeight="false" outlineLevel="0" collapsed="false">
      <c r="A43" s="11" t="s">
        <v>270</v>
      </c>
      <c r="B43" s="12" t="str">
        <f aca="false">COUNTA(B6:B41)&amp;" prospects"</f>
        <v>36 prospects</v>
      </c>
    </row>
    <row r="44" customFormat="false" ht="15" hidden="false" customHeight="false" outlineLevel="0" collapsed="false">
      <c r="A44" s="11" t="s">
        <v>271</v>
      </c>
      <c r="B44" s="12" t="n">
        <f aca="false">COUNTIF(J6:J41,"SIGNED")</f>
        <v>0</v>
      </c>
    </row>
  </sheetData>
  <mergeCells count="1"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2026-07-19T05:19:28Z</dcterms:created>
  <dc:creator>openpyxl</dc:creator>
  <dc:description/>
  <dc:language>en-US</dc:language>
  <cp:lastModifiedBy/>
  <dcterms:modified xsi:type="dcterms:W3CDTF">2026-07-19T05:19:28Z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